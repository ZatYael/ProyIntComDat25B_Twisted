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THENA\Downloads\"/>
    </mc:Choice>
  </mc:AlternateContent>
  <xr:revisionPtr revIDLastSave="0" documentId="8_{C9643C62-BA31-4364-AF68-585F215A4BEF}" xr6:coauthVersionLast="47" xr6:coauthVersionMax="47" xr10:uidLastSave="{00000000-0000-0000-0000-000000000000}"/>
  <bookViews>
    <workbookView xWindow="-120" yWindow="-120" windowWidth="20730" windowHeight="11040" xr2:uid="{00000000-000D-0000-FFFF-FFFF00000000}"/>
  </bookViews>
  <sheets>
    <sheet name="Plantilla de matriz requisitos" sheetId="1" r:id="rId1"/>
    <sheet name="Instruccion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ncrQN29aBJE7cq4Lx1UviwgYoPJUQoLxNILfLT69lfI="/>
    </ext>
  </extLst>
</workbook>
</file>

<file path=xl/calcChain.xml><?xml version="1.0" encoding="utf-8"?>
<calcChain xmlns="http://schemas.openxmlformats.org/spreadsheetml/2006/main">
  <c r="A21" i="2" l="1"/>
  <c r="A20" i="2"/>
  <c r="A19" i="2"/>
  <c r="A18" i="2"/>
  <c r="A17" i="2"/>
  <c r="A16" i="2"/>
  <c r="A15" i="2"/>
  <c r="A14" i="2"/>
  <c r="A13" i="2"/>
  <c r="A12" i="2"/>
  <c r="A11" i="2"/>
  <c r="A10" i="2"/>
  <c r="A9" i="2"/>
  <c r="A8" i="2"/>
  <c r="A7" i="2"/>
  <c r="A6" i="2"/>
  <c r="A1" i="2"/>
</calcChain>
</file>

<file path=xl/sharedStrings.xml><?xml version="1.0" encoding="utf-8"?>
<sst xmlns="http://schemas.openxmlformats.org/spreadsheetml/2006/main" count="240" uniqueCount="190">
  <si>
    <t>Plantilla de matriz de trazabilidad de requisitos</t>
  </si>
  <si>
    <t>Elaborado por: www.pmoinformatica.com</t>
  </si>
  <si>
    <t>Identificación</t>
  </si>
  <si>
    <t>Sub identificación</t>
  </si>
  <si>
    <t>Descripción del requisito</t>
  </si>
  <si>
    <t>Versión</t>
  </si>
  <si>
    <t>Estado actual</t>
  </si>
  <si>
    <t>Última fecha estado registrado</t>
  </si>
  <si>
    <t>Criterios de aceptación</t>
  </si>
  <si>
    <t>Nivel de complejidad</t>
  </si>
  <si>
    <t>Necesidad, oportunidades u objetivos de negocio</t>
  </si>
  <si>
    <t>Entregables (EDT)</t>
  </si>
  <si>
    <t>Diseño del producto</t>
  </si>
  <si>
    <t>Desarrollo del producto</t>
  </si>
  <si>
    <t>Estrategia y escenarios de pruebas</t>
  </si>
  <si>
    <t>Interesado (Stakeholder) dueño del requisito</t>
  </si>
  <si>
    <t>Nivel de prioridad</t>
  </si>
  <si>
    <t>Descripción de la información a completar en cada columna</t>
  </si>
  <si>
    <t>Columna</t>
  </si>
  <si>
    <t>Instrucciones</t>
  </si>
  <si>
    <t>Código de identificación de mayor nivel definido para el requisito. Puede definirse con números, por ejemplo 001, 002, 003, y así sucesivamente.</t>
  </si>
  <si>
    <t>Sub código de identificación que puede utilizarse para definir requisitos detallados y asociarlos a un requisito padre. De esta forma se define la trazabilidad entre requisitos de alto nivel con requisitos más detallados.
Puede definirse según el número de requisito padre, por ejemplo para el caso de 001 podría definirse el requisito 1.1 y 1.2. Pueden también definirse niveles adicionales de detalle de requisito, por ejemplo el requisito 1.1.1 y 1.1.2 estarían asociados a 1.1.</t>
  </si>
  <si>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 (solución).</t>
  </si>
  <si>
    <t>Número de versión del requisito en su estado actual. De esta forma los requisitos se pueden ir detallando o modificando en versiones sucesivas.</t>
  </si>
  <si>
    <t>Puede ser solicitado, aprobado, asignado, completado, cancelado, diferido, aceptado, entre otros.</t>
  </si>
  <si>
    <t>Fecha en la que se realizó el último cambio de estado del requisito.</t>
  </si>
  <si>
    <t>Lista los criterios de aceptación, una lista de puntos o condiciones específicas que deben cumplirse para poder registrar que el requisito ha sido satisfecho.</t>
  </si>
  <si>
    <t>Puede definirse una complejidad de forma cualitativa, por ejemplo baja, moderada o alta. Esto dependerá del criterio del evaluador.</t>
  </si>
  <si>
    <t>Vínculo del requisito con la estrategia de la organización, listando necesidades específicas que tenga el área de negocio, objetivos de la planificación estratégica que busca lograr u oportunidades de negocio o del mercado.</t>
  </si>
  <si>
    <t>Vínculo del requisito con los objetivos del proyecto. Aquí se establece la trazabilidad entre el requisito y los objetivos específicos del proyecto definidos e su alcance.</t>
  </si>
  <si>
    <t>Entregables de la estructura desagregada de tarea (EDT) en los cuales está inmerso el requisito. Puede especificarse tanto el nombre del elemento de la EDT como su código EDT.</t>
  </si>
  <si>
    <t>Implicaciones que tiene el requisito desde el punto de vista del diseño del producto. Aquí se especifica como el diseño del producto incorpora los componentes necesarios para poder satisfacer el requerimiento.</t>
  </si>
  <si>
    <t>Implicaciones del requisito en el desarrollo del producto. Describe como los procedimientos de trabajo, metodología o estándares usados incorporan el requisito. Esto aplica principalmente para requisitos que definen la forma de trabajar, estándares a cumplir, entre otros.</t>
  </si>
  <si>
    <t>Listado de las estrategias y escenarios de pruebas que se contemplarán para validar la aceptación del requisito. Estos se definen a partir de los criterios de aceptación.</t>
  </si>
  <si>
    <t>Nombre, departamento y cargo del interesado (Stakeholder) que originó la solicitud del requerimiento particular. Debe corresponder con el que es especificado en el registro de interesados del proyecto.</t>
  </si>
  <si>
    <t>Según la evaluación de la importancia del requisito para el logro de los objetivos del proyecto, se asigna un nivel de prioridad. Este nivel también puede depender del grado de influencia del interesado y estrategias que se estén empleando para gestionar la participación de los interesados.</t>
  </si>
  <si>
    <t>R002</t>
  </si>
  <si>
    <t>R002.1</t>
  </si>
  <si>
    <t>El material informativo debe incluir de manera clara las fechas clave y los procedimientos exactos para la baja de materias.</t>
  </si>
  <si>
    <t>Definido</t>
  </si>
  <si>
    <t>Baja</t>
  </si>
  <si>
    <t>Proporcionar información necesaria para evitar la reprobación y deserción de estudiantes.</t>
  </si>
  <si>
    <t xml:space="preserve">1. El contenido es aprobado por la Coordinación de I.C.O.  2. El material final incluye todas las fechas y pasos oficiales. </t>
  </si>
  <si>
    <t>Guía de procedimiento (PDF, infografía).</t>
  </si>
  <si>
    <t>Creación y centralización de la campaña.</t>
  </si>
  <si>
    <t>Creación de contenido gráfico y textual.</t>
  </si>
  <si>
    <t>Revisión y aprobación formal por parte del Patrocinador. Coordinación de I.C.O.</t>
  </si>
  <si>
    <t>Alta</t>
  </si>
  <si>
    <t>R003</t>
  </si>
  <si>
    <t>R003.1</t>
  </si>
  <si>
    <t>La campaña debe ejecutarse utilizando las plataformas digitales existentes de la coordinación para su difusión.</t>
  </si>
  <si>
    <t>La campaña de difusión debe mantenerse activa desde el primer día de clases hasta la fecha límite oficial para la baja de materias.</t>
  </si>
  <si>
    <t>Realizar un refuerzo de la comunicación intensivo unos días antes de la fecha límite para dar de baja materias.</t>
  </si>
  <si>
    <t>Crear un documento que describa las acciones a tomar frente a los riesgos generales identificados en el proyecto.</t>
  </si>
  <si>
    <t>R001</t>
  </si>
  <si>
    <t>R001.1</t>
  </si>
  <si>
    <t>R006</t>
  </si>
  <si>
    <t>R007</t>
  </si>
  <si>
    <t>R009</t>
  </si>
  <si>
    <t>R006.1</t>
  </si>
  <si>
    <t>R007.1</t>
  </si>
  <si>
    <t>R009.1</t>
  </si>
  <si>
    <t>1. Se utilizan al menos dos plataformas digitales existentes. 2. Se realizan un mínimo de tres publicaciones en cada plataforma durante la campaña.</t>
  </si>
  <si>
    <t>Media</t>
  </si>
  <si>
    <t>Alcanzar a la mayor cantidad de alumnos para eliminar el desconocimiento del proceso como factor de riesgo.</t>
  </si>
  <si>
    <t xml:space="preserve"> La guía es publicada en el enlace centralizado.</t>
  </si>
  <si>
    <t>Publicaciones en redes sociales y plataformas oficiales.</t>
  </si>
  <si>
    <t>Lanzamiento y ejecución de la campaña.</t>
  </si>
  <si>
    <t>Monitoreo de las plataformas para verificar que las publicaciones estén activas y visibles.</t>
  </si>
  <si>
    <t>Coordinación de I.C.O.</t>
  </si>
  <si>
    <t>1. La primera comunicación se emite en el primer día de clases del semestre. 2. La difusión se mantiene de forma continua hasta la fecha límite.</t>
  </si>
  <si>
    <t>Apoyar a los estudiantes a gestionar mejor su carga académica de manera oportuna y evitar que reprueben innecesariamente.</t>
  </si>
  <si>
    <t>Cronograma de publicaciones y actividades.</t>
  </si>
  <si>
    <t>Auditoría semanal del cronograma de publicaciones para asegurar el cumplimiento de las fechas.</t>
  </si>
  <si>
    <t>Gerente del Proyecto.</t>
  </si>
  <si>
    <t>1. Se lanza una campaña de recordatorio específica (aquí se pone la fecha un dia antes de dar de baja)</t>
  </si>
  <si>
    <t>El mensaje "Última llamada" se difunde por todos los canales activos.</t>
  </si>
  <si>
    <t>Mitigar el riesgo de que los alumnos ignoren los comunicados iniciales debido a la sobrecarga de información.</t>
  </si>
  <si>
    <t>Campaña de recordatorio (correos, carteles).</t>
  </si>
  <si>
    <t>Refuerzo recordatorio “Ultima llamada”.</t>
  </si>
  <si>
    <t>Ejecución de la campaña de refuerzo.</t>
  </si>
  <si>
    <t>1. El documento identifica los 3 riesgos principales del acta.</t>
  </si>
  <si>
    <t>Asegurar la continuidad del proyecto al prepararse para posibles obstáculos que impidan su ejecución o éxito.</t>
  </si>
  <si>
    <t>Matriz de riesgos y plan de mitigación.</t>
  </si>
  <si>
    <t>Análisis y documentación de riesgos.</t>
  </si>
  <si>
    <t>R004</t>
  </si>
  <si>
    <t>R004.1</t>
  </si>
  <si>
    <t>R005</t>
  </si>
  <si>
    <t>R005.1</t>
  </si>
  <si>
    <t xml:space="preserve"> Se define al menos una acción de mitigación o contingencia por cada riesgo. 
  El documento es aprobado por el Patrocinador."</t>
  </si>
  <si>
    <t>R008</t>
  </si>
  <si>
    <t>R010</t>
  </si>
  <si>
    <t>R011</t>
  </si>
  <si>
    <t>R012</t>
  </si>
  <si>
    <t>R013</t>
  </si>
  <si>
    <t>R008.1</t>
  </si>
  <si>
    <t>R014</t>
  </si>
  <si>
    <t>R015</t>
  </si>
  <si>
    <t>R016</t>
  </si>
  <si>
    <t>R017</t>
  </si>
  <si>
    <t>R018</t>
  </si>
  <si>
    <t>R019</t>
  </si>
  <si>
    <t>R020</t>
  </si>
  <si>
    <t>R021</t>
  </si>
  <si>
    <t>R022</t>
  </si>
  <si>
    <t>R010.1</t>
  </si>
  <si>
    <t>R014.1</t>
  </si>
  <si>
    <t>R015.1</t>
  </si>
  <si>
    <t>R011.1</t>
  </si>
  <si>
    <t>R012.1</t>
  </si>
  <si>
    <t>R013.1</t>
  </si>
  <si>
    <t>Por definir</t>
  </si>
  <si>
    <t>Capacitar a asesores estudiantiles para informar verbalmente a los alumnos.</t>
  </si>
  <si>
    <t>1. 70% de asesores capacitados antes del lanzamiento.</t>
  </si>
  <si>
    <t>Refuerzo humano de la campaña.</t>
  </si>
  <si>
    <t>Lista de asesores capacitados.</t>
  </si>
  <si>
    <t>Manual de capacitación.</t>
  </si>
  <si>
    <t>Sesiones de inducción.</t>
  </si>
  <si>
    <t>Encuesta de comprensión a asesores.</t>
  </si>
  <si>
    <t>Asesores estudiantiles</t>
  </si>
  <si>
    <t>Medir el porcentaje de estudiantes alcanzados por la campaña.</t>
  </si>
  <si>
    <t>Al menos 90% de estudiantes contactados.</t>
  </si>
  <si>
    <t>Evaluar impacto y mejora.</t>
  </si>
  <si>
    <t>Reporte de métricas.</t>
  </si>
  <si>
    <t>Tablas de control.</t>
  </si>
  <si>
    <t>Análisis de datos de alcance.</t>
  </si>
  <si>
    <t>Comparación de listas de inscritos vs. contactados.</t>
  </si>
  <si>
    <t>Verificar que el proceso de difusión cumpla con el reglamento universitario.</t>
  </si>
  <si>
    <t>En revisión</t>
  </si>
  <si>
    <t>Validación por la coordinación académica.</t>
  </si>
  <si>
    <t>Prevenir problemas de autorización.</t>
  </si>
  <si>
    <t>Documento de aprobación.</t>
  </si>
  <si>
    <t>Formato de autorización.</t>
  </si>
  <si>
    <t>Revisión legal interna.</t>
  </si>
  <si>
    <t>Prueba de conformidad con normativa.</t>
  </si>
  <si>
    <t>Coordinación académica</t>
  </si>
  <si>
    <t>Diseñar material gráfico claro y atractivo (infografías, carteles).</t>
  </si>
  <si>
    <t>Planeado</t>
  </si>
  <si>
    <t>Al menos 3 materiales gráficos aprobados.</t>
  </si>
  <si>
    <t>Facilitar comprensión de fechas y procesos.</t>
  </si>
  <si>
    <t>Pack de materiales gráficos.</t>
  </si>
  <si>
    <t>Bocetos y paleta de colores.</t>
  </si>
  <si>
    <t>Diseño en Canva/Illustrator.</t>
  </si>
  <si>
    <t>Encuesta de legibilidad a muestra de alumnos.</t>
  </si>
  <si>
    <t>Equipo de comunicación</t>
  </si>
  <si>
    <t>Implementar un envío masivo de correos a estudiantes de primer semestre.</t>
  </si>
  <si>
    <t>Correos enviados a &gt;90% de las cuentas institucionales.</t>
  </si>
  <si>
    <t>Asegurar contacto directo.</t>
  </si>
  <si>
    <t>Base de datos de envíos.</t>
  </si>
  <si>
    <t>Plantilla de correo.</t>
  </si>
  <si>
    <t>Prueba piloto de entrega.</t>
  </si>
  <si>
    <t>Configuración de envío automático.</t>
  </si>
  <si>
    <t>Ofrecer un link directo al sistema de bajas en los comunicados.</t>
  </si>
  <si>
    <t>Link funcional en todos los comunicados.</t>
  </si>
  <si>
    <t>Facilitar el proceso a los alumnos.</t>
  </si>
  <si>
    <t>Botón de acceso en publicaciones.</t>
  </si>
  <si>
    <t>Mockup de botón/QR.</t>
  </si>
  <si>
    <t>Inserción en portal y redes.</t>
  </si>
  <si>
    <t>Test de funcionalidad del enlace.</t>
  </si>
  <si>
    <t>Crear un video corto explicativo del proceso de baja de materias.</t>
  </si>
  <si>
    <t>Video de ≤2 min, comprensible y publicado en el portal y redes.</t>
  </si>
  <si>
    <t>Aumentar comprensión visual.</t>
  </si>
  <si>
    <t>Video institucional.</t>
  </si>
  <si>
    <t>Guion y storyboard</t>
  </si>
  <si>
    <t>Grabación y edición del video.</t>
  </si>
  <si>
    <t>Prueba de visualización en distintos dispositivos.</t>
  </si>
  <si>
    <t>Generar un código QR para acceso directo a la información oficial.</t>
  </si>
  <si>
    <t>QR funcional escaneable desde carteles y dispositivos móviles.</t>
  </si>
  <si>
    <t>Acceso rápido y moderno a la información.</t>
  </si>
  <si>
    <t>Código QR impreso y digital.</t>
  </si>
  <si>
    <t>Diseño del QR con enlace oficial.</t>
  </si>
  <si>
    <t>Inserción en carteles y publicaciones.</t>
  </si>
  <si>
    <t>Escaneo de prueba en distintos celulares.</t>
  </si>
  <si>
    <t>Implementar un canal de chat o foro para responder dudas en tiempo real.</t>
  </si>
  <si>
    <t>Distribuir un boletín físico en las áreas comunes con fechas y pasos de baja.</t>
  </si>
  <si>
    <t>En análisis</t>
  </si>
  <si>
    <t>Chat activo en horario de oficina y atendido por asesores.</t>
  </si>
  <si>
    <t>Boletines impresos y colocados en al menos 5 puntos estratégicos.</t>
  </si>
  <si>
    <t>Resolver dudas inmediatas.</t>
  </si>
  <si>
    <t>Alcanzar a estudiantes sin acceso digital.</t>
  </si>
  <si>
    <t>Chat en línea / grupo oficial.</t>
  </si>
  <si>
    <t>Boletín impreso.</t>
  </si>
  <si>
    <t>Prototipo de sala de chat.</t>
  </si>
  <si>
    <t>Diseño en formato A4 a color.</t>
  </si>
  <si>
    <t>Configuración en plataforma institucional.</t>
  </si>
  <si>
    <t>Impresión y distribución.</t>
  </si>
  <si>
    <t>Pruebas de conectividad y atención.</t>
  </si>
  <si>
    <t>Verificación de colocación en puntos de alto tránsito.</t>
  </si>
  <si>
    <t>Código de proyecto: [R000]</t>
  </si>
  <si>
    <t>Proyecto: [Reducción al alto índice de reprobación en la licenciatura de Ingeniería en Computación derivado al desconocimiento de baja de materias en alumnos de primer semestre]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</si>
</sst>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sz val="11"/>
      <color theme="1"/>
      <name val="Calibri"/>
      <family val="2"/>
      <scheme val="minor"/>
    </font>
    <font>
      <b/>
      <sz val="18"/>
      <color theme="1"/>
      <name val="Calibri"/>
    </font>
    <font>
      <sz val="11"/>
      <color theme="1"/>
      <name val="Calibri"/>
    </font>
    <font>
      <b/>
      <sz val="16"/>
      <color rgb="FF1F497D"/>
      <name val="Calibri"/>
    </font>
    <font>
      <sz val="11"/>
      <color theme="0"/>
      <name val="Calibri"/>
    </font>
    <font>
      <b/>
      <sz val="11"/>
      <color theme="1"/>
      <name val="Calibri"/>
    </font>
    <font>
      <sz val="10"/>
      <color theme="1"/>
      <name val="Arial"/>
      <family val="2"/>
    </font>
    <font>
      <sz val="11"/>
      <color theme="0"/>
      <name val="Calibri"/>
      <family val="2"/>
    </font>
    <font>
      <sz val="11"/>
      <color theme="1"/>
      <name val="Calibri"/>
      <family val="2"/>
    </font>
    <font>
      <sz val="8"/>
      <name val="Calibri"/>
      <family val="2"/>
      <scheme val="minor"/>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1">
    <xf numFmtId="0" fontId="0" fillId="0" borderId="0" xfId="0"/>
    <xf numFmtId="0" fontId="2" fillId="2" borderId="1" xfId="0" applyFont="1" applyFill="1" applyBorder="1"/>
    <xf numFmtId="0" fontId="3" fillId="2" borderId="1" xfId="0" applyFont="1" applyFill="1" applyBorder="1"/>
    <xf numFmtId="0" fontId="4" fillId="2" borderId="1" xfId="0" applyFont="1" applyFill="1" applyBorder="1"/>
    <xf numFmtId="0" fontId="6" fillId="2" borderId="1" xfId="0" applyFont="1" applyFill="1" applyBorder="1"/>
    <xf numFmtId="0" fontId="5" fillId="3" borderId="2" xfId="0" applyFont="1" applyFill="1" applyBorder="1"/>
    <xf numFmtId="0" fontId="3" fillId="2" borderId="2" xfId="0" applyFont="1" applyFill="1" applyBorder="1" applyAlignment="1">
      <alignment horizontal="left" vertical="top" wrapText="1"/>
    </xf>
    <xf numFmtId="0" fontId="5" fillId="3" borderId="3" xfId="0" applyFont="1" applyFill="1" applyBorder="1" applyAlignment="1">
      <alignment horizontal="center" vertical="center" wrapText="1"/>
    </xf>
    <xf numFmtId="0" fontId="7" fillId="0" borderId="4" xfId="0" applyFont="1" applyBorder="1" applyAlignment="1">
      <alignment horizontal="center" vertical="center"/>
    </xf>
    <xf numFmtId="14" fontId="7" fillId="0" borderId="4" xfId="0" applyNumberFormat="1" applyFont="1" applyBorder="1" applyAlignment="1">
      <alignment horizontal="center" vertical="center"/>
    </xf>
    <xf numFmtId="0" fontId="3" fillId="2" borderId="4" xfId="0" applyFont="1" applyFill="1" applyBorder="1"/>
    <xf numFmtId="0" fontId="7" fillId="0" borderId="5" xfId="0" applyFont="1" applyBorder="1" applyAlignment="1">
      <alignment horizontal="center" vertical="center"/>
    </xf>
    <xf numFmtId="0" fontId="7" fillId="0" borderId="4" xfId="0" applyFont="1" applyBorder="1" applyAlignment="1">
      <alignment horizontal="center" vertical="center" wrapText="1"/>
    </xf>
    <xf numFmtId="0" fontId="8" fillId="3" borderId="3" xfId="0" applyFont="1" applyFill="1" applyBorder="1" applyAlignment="1">
      <alignment horizontal="center" vertical="center" wrapText="1"/>
    </xf>
    <xf numFmtId="0" fontId="9" fillId="2" borderId="4" xfId="0" applyFont="1" applyFill="1" applyBorder="1" applyAlignment="1">
      <alignment horizontal="center" vertical="center"/>
    </xf>
    <xf numFmtId="0" fontId="0" fillId="0" borderId="4" xfId="0" applyBorder="1" applyAlignment="1">
      <alignment horizontal="center" vertical="center"/>
    </xf>
    <xf numFmtId="14" fontId="7" fillId="0" borderId="4" xfId="0" applyNumberFormat="1" applyFont="1" applyBorder="1" applyAlignment="1">
      <alignment horizontal="center" vertical="center" wrapText="1"/>
    </xf>
    <xf numFmtId="0" fontId="7" fillId="0" borderId="5" xfId="0" applyFont="1" applyBorder="1" applyAlignment="1">
      <alignment horizontal="center" vertical="center" wrapText="1"/>
    </xf>
    <xf numFmtId="0" fontId="9"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1"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1.xml"/><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zoomScaleNormal="100" workbookViewId="0">
      <selection activeCell="C3" sqref="C3"/>
    </sheetView>
  </sheetViews>
  <sheetFormatPr baseColWidth="10" defaultColWidth="14.42578125" defaultRowHeight="15" customHeight="1" x14ac:dyDescent="0.25"/>
  <cols>
    <col min="1" max="1" width="14.7109375" customWidth="1"/>
    <col min="2" max="2" width="18.7109375" customWidth="1"/>
    <col min="3" max="3" width="117.28515625" bestFit="1" customWidth="1"/>
    <col min="4" max="6" width="26.5703125" customWidth="1"/>
    <col min="7" max="7" width="132.140625" bestFit="1" customWidth="1"/>
    <col min="8" max="8" width="45.42578125" bestFit="1" customWidth="1"/>
    <col min="9" max="9" width="114" bestFit="1" customWidth="1"/>
    <col min="10" max="10" width="98.42578125" bestFit="1" customWidth="1"/>
    <col min="11" max="11" width="37.28515625" bestFit="1" customWidth="1"/>
    <col min="12" max="12" width="38" bestFit="1" customWidth="1"/>
    <col min="13" max="13" width="88" bestFit="1" customWidth="1"/>
    <col min="14" max="14" width="72" bestFit="1" customWidth="1"/>
    <col min="15" max="15" width="26.7109375" customWidth="1"/>
    <col min="16" max="25" width="10" customWidth="1"/>
  </cols>
  <sheetData>
    <row r="1" spans="1:25" ht="23.25" customHeight="1" x14ac:dyDescent="0.35">
      <c r="A1" s="1" t="s">
        <v>0</v>
      </c>
      <c r="B1" s="2"/>
      <c r="C1" s="2"/>
      <c r="D1" s="2"/>
      <c r="E1" s="2"/>
      <c r="F1" s="2"/>
      <c r="G1" s="2"/>
      <c r="H1" s="2"/>
      <c r="I1" s="2"/>
      <c r="J1" s="2"/>
      <c r="K1" s="2"/>
      <c r="L1" s="2"/>
      <c r="M1" s="2"/>
      <c r="N1" s="2"/>
      <c r="O1" s="2"/>
      <c r="P1" s="2"/>
      <c r="Q1" s="2"/>
      <c r="R1" s="2"/>
      <c r="S1" s="2"/>
      <c r="T1" s="2"/>
      <c r="U1" s="2"/>
      <c r="V1" s="2"/>
      <c r="W1" s="2"/>
      <c r="X1" s="2"/>
      <c r="Y1" s="2"/>
    </row>
    <row r="2" spans="1:25" ht="21" customHeight="1" x14ac:dyDescent="0.35">
      <c r="A2" s="3"/>
      <c r="B2" s="2"/>
      <c r="C2" s="2"/>
      <c r="D2" s="2"/>
      <c r="E2" s="2"/>
      <c r="F2" s="2"/>
      <c r="G2" s="2"/>
      <c r="H2" s="2"/>
      <c r="I2" s="2"/>
      <c r="J2" s="2"/>
      <c r="K2" s="2"/>
      <c r="L2" s="2"/>
      <c r="M2" s="2"/>
      <c r="N2" s="2"/>
      <c r="O2" s="2"/>
      <c r="P2" s="2"/>
      <c r="Q2" s="2"/>
      <c r="R2" s="2"/>
      <c r="S2" s="2"/>
      <c r="T2" s="2"/>
      <c r="U2" s="2"/>
      <c r="V2" s="2"/>
      <c r="W2" s="2"/>
      <c r="X2" s="2"/>
      <c r="Y2" s="2"/>
    </row>
    <row r="3" spans="1:25" x14ac:dyDescent="0.25">
      <c r="A3" s="2" t="s">
        <v>188</v>
      </c>
      <c r="B3" s="2"/>
      <c r="C3" s="2"/>
      <c r="D3" s="2"/>
      <c r="E3" s="2"/>
      <c r="F3" s="2"/>
      <c r="G3" s="2"/>
      <c r="H3" s="2"/>
      <c r="I3" s="2"/>
      <c r="J3" s="2"/>
      <c r="K3" s="2"/>
      <c r="L3" s="2"/>
      <c r="M3" s="2"/>
      <c r="N3" s="2"/>
      <c r="O3" s="2"/>
      <c r="P3" s="2"/>
      <c r="Q3" s="2"/>
      <c r="R3" s="2"/>
      <c r="S3" s="2"/>
      <c r="T3" s="2"/>
      <c r="U3" s="2"/>
      <c r="V3" s="2"/>
      <c r="W3" s="2"/>
      <c r="X3" s="2"/>
      <c r="Y3" s="2"/>
    </row>
    <row r="4" spans="1:25" x14ac:dyDescent="0.25">
      <c r="A4" s="2" t="s">
        <v>189</v>
      </c>
      <c r="B4" s="2"/>
      <c r="C4" s="2"/>
      <c r="D4" s="2"/>
      <c r="E4" s="2"/>
      <c r="F4" s="2"/>
      <c r="G4" s="2"/>
      <c r="H4" s="2"/>
      <c r="I4" s="2"/>
      <c r="J4" s="2"/>
      <c r="K4" s="2"/>
      <c r="L4" s="2"/>
      <c r="M4" s="2"/>
      <c r="N4" s="2"/>
      <c r="O4" s="2"/>
      <c r="P4" s="2"/>
      <c r="Q4" s="2"/>
      <c r="R4" s="2"/>
      <c r="S4" s="2"/>
      <c r="T4" s="2"/>
      <c r="U4" s="2"/>
      <c r="V4" s="2"/>
      <c r="W4" s="2"/>
      <c r="X4" s="2"/>
      <c r="Y4" s="2"/>
    </row>
    <row r="5" spans="1:25" x14ac:dyDescent="0.25">
      <c r="A5" s="2"/>
      <c r="B5" s="2"/>
      <c r="C5" s="2"/>
      <c r="D5" s="2"/>
      <c r="E5" s="2"/>
      <c r="F5" s="2"/>
      <c r="G5" s="2"/>
      <c r="H5" s="2"/>
      <c r="I5" s="2"/>
      <c r="J5" s="2"/>
      <c r="K5" s="2"/>
      <c r="L5" s="2"/>
      <c r="M5" s="2"/>
      <c r="N5" s="2"/>
      <c r="O5" s="2"/>
      <c r="P5" s="2"/>
      <c r="Q5" s="2"/>
      <c r="R5" s="2"/>
      <c r="S5" s="2"/>
      <c r="T5" s="2"/>
      <c r="U5" s="2"/>
      <c r="V5" s="2"/>
      <c r="W5" s="2"/>
      <c r="X5" s="2"/>
      <c r="Y5" s="2"/>
    </row>
    <row r="6" spans="1:25" ht="30" customHeight="1" x14ac:dyDescent="0.25">
      <c r="A6" s="7" t="s">
        <v>2</v>
      </c>
      <c r="B6" s="7" t="s">
        <v>3</v>
      </c>
      <c r="C6" s="7" t="s">
        <v>4</v>
      </c>
      <c r="D6" s="7" t="s">
        <v>5</v>
      </c>
      <c r="E6" s="7" t="s">
        <v>6</v>
      </c>
      <c r="F6" s="7" t="s">
        <v>7</v>
      </c>
      <c r="G6" s="7" t="s">
        <v>8</v>
      </c>
      <c r="H6" s="7" t="s">
        <v>9</v>
      </c>
      <c r="I6" s="13" t="s">
        <v>10</v>
      </c>
      <c r="J6" s="13" t="s">
        <v>11</v>
      </c>
      <c r="K6" s="13" t="s">
        <v>12</v>
      </c>
      <c r="L6" s="13" t="s">
        <v>13</v>
      </c>
      <c r="M6" s="13" t="s">
        <v>14</v>
      </c>
      <c r="N6" s="13" t="s">
        <v>15</v>
      </c>
      <c r="O6" s="13" t="s">
        <v>16</v>
      </c>
      <c r="P6" s="2"/>
      <c r="Q6" s="2"/>
      <c r="R6" s="2"/>
      <c r="S6" s="2"/>
      <c r="T6" s="2"/>
      <c r="U6" s="2"/>
      <c r="V6" s="2"/>
      <c r="W6" s="2"/>
      <c r="X6" s="2"/>
      <c r="Y6" s="2"/>
    </row>
    <row r="7" spans="1:25" x14ac:dyDescent="0.25">
      <c r="A7" s="8" t="s">
        <v>54</v>
      </c>
      <c r="B7" s="8" t="s">
        <v>55</v>
      </c>
      <c r="C7" s="8" t="s">
        <v>38</v>
      </c>
      <c r="D7" s="8">
        <v>1</v>
      </c>
      <c r="E7" s="8" t="s">
        <v>39</v>
      </c>
      <c r="F7" s="9">
        <v>45923</v>
      </c>
      <c r="G7" s="8" t="s">
        <v>42</v>
      </c>
      <c r="H7" s="15" t="s">
        <v>40</v>
      </c>
      <c r="I7" s="8" t="s">
        <v>65</v>
      </c>
      <c r="J7" s="8" t="s">
        <v>41</v>
      </c>
      <c r="K7" s="8" t="s">
        <v>43</v>
      </c>
      <c r="L7" s="8" t="s">
        <v>44</v>
      </c>
      <c r="M7" s="8" t="s">
        <v>45</v>
      </c>
      <c r="N7" s="8" t="s">
        <v>46</v>
      </c>
      <c r="O7" s="8" t="s">
        <v>47</v>
      </c>
      <c r="P7" s="2"/>
      <c r="Q7" s="2"/>
      <c r="R7" s="2"/>
      <c r="S7" s="2"/>
      <c r="T7" s="2"/>
      <c r="U7" s="2"/>
      <c r="V7" s="2"/>
      <c r="W7" s="2"/>
      <c r="X7" s="2"/>
      <c r="Y7" s="2"/>
    </row>
    <row r="8" spans="1:25" ht="30" customHeight="1" x14ac:dyDescent="0.25">
      <c r="A8" s="8" t="s">
        <v>36</v>
      </c>
      <c r="B8" s="8" t="s">
        <v>37</v>
      </c>
      <c r="C8" s="8" t="s">
        <v>50</v>
      </c>
      <c r="D8" s="8">
        <v>1</v>
      </c>
      <c r="E8" s="8" t="s">
        <v>39</v>
      </c>
      <c r="F8" s="16">
        <v>45923</v>
      </c>
      <c r="G8" s="8" t="s">
        <v>62</v>
      </c>
      <c r="H8" s="8" t="s">
        <v>63</v>
      </c>
      <c r="I8" s="8" t="s">
        <v>64</v>
      </c>
      <c r="J8" s="8" t="s">
        <v>66</v>
      </c>
      <c r="K8" s="8" t="s">
        <v>44</v>
      </c>
      <c r="L8" s="8" t="s">
        <v>67</v>
      </c>
      <c r="M8" s="8" t="s">
        <v>68</v>
      </c>
      <c r="N8" s="8" t="s">
        <v>69</v>
      </c>
      <c r="O8" s="8" t="s">
        <v>47</v>
      </c>
      <c r="P8" s="2"/>
      <c r="Q8" s="2"/>
      <c r="R8" s="2"/>
      <c r="S8" s="2"/>
      <c r="T8" s="2"/>
      <c r="U8" s="2"/>
      <c r="V8" s="2"/>
      <c r="W8" s="2"/>
      <c r="X8" s="2"/>
      <c r="Y8" s="2"/>
    </row>
    <row r="9" spans="1:25" ht="30" customHeight="1" x14ac:dyDescent="0.25">
      <c r="A9" s="8" t="s">
        <v>48</v>
      </c>
      <c r="B9" s="12" t="s">
        <v>49</v>
      </c>
      <c r="C9" s="8" t="s">
        <v>51</v>
      </c>
      <c r="D9" s="8">
        <v>1</v>
      </c>
      <c r="E9" s="8" t="s">
        <v>39</v>
      </c>
      <c r="F9" s="16">
        <v>45923</v>
      </c>
      <c r="G9" s="8" t="s">
        <v>70</v>
      </c>
      <c r="H9" s="8" t="s">
        <v>40</v>
      </c>
      <c r="I9" s="8" t="s">
        <v>71</v>
      </c>
      <c r="J9" s="8" t="s">
        <v>72</v>
      </c>
      <c r="K9" s="8" t="s">
        <v>44</v>
      </c>
      <c r="L9" s="8" t="s">
        <v>67</v>
      </c>
      <c r="M9" s="8" t="s">
        <v>73</v>
      </c>
      <c r="N9" s="8" t="s">
        <v>74</v>
      </c>
      <c r="O9" s="8" t="s">
        <v>47</v>
      </c>
      <c r="P9" s="2"/>
      <c r="Q9" s="2"/>
      <c r="R9" s="2"/>
      <c r="S9" s="2"/>
      <c r="T9" s="2"/>
      <c r="U9" s="2"/>
      <c r="V9" s="2"/>
      <c r="W9" s="2"/>
      <c r="X9" s="2"/>
      <c r="Y9" s="2"/>
    </row>
    <row r="10" spans="1:25" ht="30" customHeight="1" x14ac:dyDescent="0.25">
      <c r="A10" s="8" t="s">
        <v>85</v>
      </c>
      <c r="B10" s="12" t="s">
        <v>86</v>
      </c>
      <c r="C10" s="8" t="s">
        <v>52</v>
      </c>
      <c r="D10" s="8">
        <v>1</v>
      </c>
      <c r="E10" s="8" t="s">
        <v>39</v>
      </c>
      <c r="F10" s="16">
        <v>45923</v>
      </c>
      <c r="G10" s="8" t="s">
        <v>75</v>
      </c>
      <c r="H10" s="14" t="s">
        <v>40</v>
      </c>
      <c r="I10" s="8" t="s">
        <v>76</v>
      </c>
      <c r="J10" s="8" t="s">
        <v>77</v>
      </c>
      <c r="K10" s="8" t="s">
        <v>78</v>
      </c>
      <c r="L10" s="8" t="s">
        <v>79</v>
      </c>
      <c r="M10" s="8" t="s">
        <v>80</v>
      </c>
      <c r="N10" s="8" t="s">
        <v>74</v>
      </c>
      <c r="O10" s="8" t="s">
        <v>63</v>
      </c>
      <c r="P10" s="2"/>
      <c r="Q10" s="2"/>
      <c r="R10" s="2"/>
      <c r="S10" s="2"/>
      <c r="T10" s="2"/>
      <c r="U10" s="2"/>
      <c r="V10" s="2"/>
      <c r="W10" s="2"/>
      <c r="X10" s="2"/>
      <c r="Y10" s="2"/>
    </row>
    <row r="11" spans="1:25" ht="30" customHeight="1" x14ac:dyDescent="0.25">
      <c r="A11" s="8" t="s">
        <v>87</v>
      </c>
      <c r="B11" s="12" t="s">
        <v>88</v>
      </c>
      <c r="C11" s="8" t="s">
        <v>53</v>
      </c>
      <c r="D11" s="8">
        <v>1</v>
      </c>
      <c r="E11" s="8" t="s">
        <v>39</v>
      </c>
      <c r="F11" s="16">
        <v>45923</v>
      </c>
      <c r="G11" s="8" t="s">
        <v>81</v>
      </c>
      <c r="H11" s="14" t="s">
        <v>40</v>
      </c>
      <c r="I11" s="12" t="s">
        <v>89</v>
      </c>
      <c r="J11" s="8" t="s">
        <v>82</v>
      </c>
      <c r="K11" s="8" t="s">
        <v>83</v>
      </c>
      <c r="L11" s="8" t="s">
        <v>44</v>
      </c>
      <c r="M11" s="8" t="s">
        <v>84</v>
      </c>
      <c r="N11" s="8" t="s">
        <v>74</v>
      </c>
      <c r="O11" s="14" t="s">
        <v>63</v>
      </c>
      <c r="P11" s="2"/>
      <c r="Q11" s="2"/>
      <c r="R11" s="2"/>
      <c r="S11" s="2"/>
      <c r="T11" s="2"/>
      <c r="U11" s="2"/>
      <c r="V11" s="2"/>
      <c r="W11" s="2"/>
      <c r="X11" s="2"/>
      <c r="Y11" s="2"/>
    </row>
    <row r="12" spans="1:25" ht="30" customHeight="1" x14ac:dyDescent="0.25">
      <c r="A12" s="8" t="s">
        <v>56</v>
      </c>
      <c r="B12" s="12" t="s">
        <v>59</v>
      </c>
      <c r="C12" s="18" t="s">
        <v>112</v>
      </c>
      <c r="D12" s="19">
        <v>1</v>
      </c>
      <c r="E12" s="18" t="s">
        <v>111</v>
      </c>
      <c r="F12" s="16">
        <v>45923</v>
      </c>
      <c r="G12" s="18" t="s">
        <v>113</v>
      </c>
      <c r="H12" s="18" t="s">
        <v>63</v>
      </c>
      <c r="I12" s="20" t="s">
        <v>114</v>
      </c>
      <c r="J12" s="20" t="s">
        <v>115</v>
      </c>
      <c r="K12" s="20" t="s">
        <v>116</v>
      </c>
      <c r="L12" s="20" t="s">
        <v>117</v>
      </c>
      <c r="M12" s="20" t="s">
        <v>118</v>
      </c>
      <c r="N12" s="20" t="s">
        <v>119</v>
      </c>
      <c r="O12" s="20" t="s">
        <v>47</v>
      </c>
      <c r="P12" s="2"/>
      <c r="Q12" s="2"/>
      <c r="R12" s="2"/>
      <c r="S12" s="2"/>
      <c r="T12" s="2"/>
      <c r="U12" s="2"/>
      <c r="V12" s="2"/>
      <c r="W12" s="2"/>
      <c r="X12" s="2"/>
      <c r="Y12" s="2"/>
    </row>
    <row r="13" spans="1:25" ht="30" customHeight="1" x14ac:dyDescent="0.25">
      <c r="A13" s="8" t="s">
        <v>57</v>
      </c>
      <c r="B13" s="12" t="s">
        <v>60</v>
      </c>
      <c r="C13" s="20" t="s">
        <v>120</v>
      </c>
      <c r="D13" s="19">
        <v>1</v>
      </c>
      <c r="E13" s="18" t="s">
        <v>111</v>
      </c>
      <c r="F13" s="16">
        <v>45923</v>
      </c>
      <c r="G13" s="20" t="s">
        <v>121</v>
      </c>
      <c r="H13" s="20" t="s">
        <v>47</v>
      </c>
      <c r="I13" s="20" t="s">
        <v>122</v>
      </c>
      <c r="J13" s="20" t="s">
        <v>123</v>
      </c>
      <c r="K13" s="20" t="s">
        <v>124</v>
      </c>
      <c r="L13" s="20" t="s">
        <v>125</v>
      </c>
      <c r="M13" s="20" t="s">
        <v>126</v>
      </c>
      <c r="N13" s="20" t="s">
        <v>69</v>
      </c>
      <c r="O13" s="20" t="s">
        <v>47</v>
      </c>
      <c r="P13" s="2"/>
      <c r="Q13" s="2"/>
      <c r="R13" s="2"/>
      <c r="S13" s="2"/>
      <c r="T13" s="2"/>
      <c r="U13" s="2"/>
      <c r="V13" s="2"/>
      <c r="W13" s="2"/>
      <c r="X13" s="2"/>
      <c r="Y13" s="2"/>
    </row>
    <row r="14" spans="1:25" ht="30" customHeight="1" x14ac:dyDescent="0.25">
      <c r="A14" s="8" t="s">
        <v>90</v>
      </c>
      <c r="B14" s="12" t="s">
        <v>95</v>
      </c>
      <c r="C14" s="20" t="s">
        <v>127</v>
      </c>
      <c r="D14" s="19">
        <v>1</v>
      </c>
      <c r="E14" s="18" t="s">
        <v>128</v>
      </c>
      <c r="F14" s="16">
        <v>45923</v>
      </c>
      <c r="G14" s="20" t="s">
        <v>129</v>
      </c>
      <c r="H14" s="20" t="s">
        <v>63</v>
      </c>
      <c r="I14" s="20" t="s">
        <v>130</v>
      </c>
      <c r="J14" s="20" t="s">
        <v>131</v>
      </c>
      <c r="K14" s="20" t="s">
        <v>132</v>
      </c>
      <c r="L14" s="20" t="s">
        <v>133</v>
      </c>
      <c r="M14" s="20" t="s">
        <v>134</v>
      </c>
      <c r="N14" s="20" t="s">
        <v>135</v>
      </c>
      <c r="O14" s="20" t="s">
        <v>47</v>
      </c>
      <c r="P14" s="2"/>
      <c r="Q14" s="2"/>
      <c r="R14" s="2"/>
      <c r="S14" s="2"/>
      <c r="T14" s="2"/>
      <c r="U14" s="2"/>
      <c r="V14" s="2"/>
      <c r="W14" s="2"/>
      <c r="X14" s="2"/>
      <c r="Y14" s="2"/>
    </row>
    <row r="15" spans="1:25" ht="30" customHeight="1" x14ac:dyDescent="0.25">
      <c r="A15" s="8" t="s">
        <v>58</v>
      </c>
      <c r="B15" s="12" t="s">
        <v>61</v>
      </c>
      <c r="C15" s="20" t="s">
        <v>136</v>
      </c>
      <c r="D15" s="19">
        <v>1</v>
      </c>
      <c r="E15" s="20" t="s">
        <v>137</v>
      </c>
      <c r="F15" s="16">
        <v>45923</v>
      </c>
      <c r="G15" s="20" t="s">
        <v>138</v>
      </c>
      <c r="H15" s="20" t="s">
        <v>63</v>
      </c>
      <c r="I15" s="20" t="s">
        <v>139</v>
      </c>
      <c r="J15" s="20" t="s">
        <v>140</v>
      </c>
      <c r="K15" s="20" t="s">
        <v>141</v>
      </c>
      <c r="L15" s="20" t="s">
        <v>142</v>
      </c>
      <c r="M15" s="20" t="s">
        <v>143</v>
      </c>
      <c r="N15" s="20" t="s">
        <v>144</v>
      </c>
      <c r="O15" s="20" t="s">
        <v>63</v>
      </c>
      <c r="P15" s="2"/>
      <c r="Q15" s="2"/>
      <c r="R15" s="2"/>
      <c r="S15" s="2"/>
      <c r="T15" s="2"/>
      <c r="U15" s="2"/>
      <c r="V15" s="2"/>
      <c r="W15" s="2"/>
      <c r="X15" s="2"/>
      <c r="Y15" s="2"/>
    </row>
    <row r="16" spans="1:25" ht="30" customHeight="1" x14ac:dyDescent="0.25">
      <c r="A16" s="8" t="s">
        <v>91</v>
      </c>
      <c r="B16" s="12" t="s">
        <v>105</v>
      </c>
      <c r="C16" s="20" t="s">
        <v>145</v>
      </c>
      <c r="D16" s="19">
        <v>1</v>
      </c>
      <c r="E16" s="20" t="s">
        <v>137</v>
      </c>
      <c r="F16" s="16">
        <v>45923</v>
      </c>
      <c r="G16" s="20" t="s">
        <v>146</v>
      </c>
      <c r="H16" s="20" t="s">
        <v>47</v>
      </c>
      <c r="I16" s="20" t="s">
        <v>147</v>
      </c>
      <c r="J16" s="20" t="s">
        <v>148</v>
      </c>
      <c r="K16" s="20" t="s">
        <v>149</v>
      </c>
      <c r="L16" s="20" t="s">
        <v>151</v>
      </c>
      <c r="M16" s="20" t="s">
        <v>150</v>
      </c>
      <c r="N16" s="20" t="s">
        <v>69</v>
      </c>
      <c r="O16" s="20" t="s">
        <v>47</v>
      </c>
      <c r="P16" s="2"/>
      <c r="Q16" s="2"/>
      <c r="R16" s="2"/>
      <c r="S16" s="2"/>
      <c r="T16" s="2"/>
      <c r="U16" s="2"/>
      <c r="V16" s="2"/>
      <c r="W16" s="2"/>
      <c r="X16" s="2"/>
      <c r="Y16" s="2"/>
    </row>
    <row r="17" spans="1:25" ht="30" customHeight="1" x14ac:dyDescent="0.25">
      <c r="A17" s="8" t="s">
        <v>92</v>
      </c>
      <c r="B17" s="12" t="s">
        <v>108</v>
      </c>
      <c r="C17" s="20" t="s">
        <v>152</v>
      </c>
      <c r="D17" s="19">
        <v>1</v>
      </c>
      <c r="E17" s="20" t="s">
        <v>137</v>
      </c>
      <c r="F17" s="16">
        <v>45923</v>
      </c>
      <c r="G17" s="20" t="s">
        <v>153</v>
      </c>
      <c r="H17" s="20" t="s">
        <v>63</v>
      </c>
      <c r="I17" s="20" t="s">
        <v>154</v>
      </c>
      <c r="J17" s="20" t="s">
        <v>155</v>
      </c>
      <c r="K17" s="20" t="s">
        <v>156</v>
      </c>
      <c r="L17" s="20" t="s">
        <v>157</v>
      </c>
      <c r="M17" s="20" t="s">
        <v>158</v>
      </c>
      <c r="N17" s="20" t="s">
        <v>69</v>
      </c>
      <c r="O17" s="20" t="s">
        <v>47</v>
      </c>
      <c r="P17" s="2"/>
      <c r="Q17" s="2"/>
      <c r="R17" s="2"/>
      <c r="S17" s="2"/>
      <c r="T17" s="2"/>
      <c r="U17" s="2"/>
      <c r="V17" s="2"/>
      <c r="W17" s="2"/>
      <c r="X17" s="2"/>
      <c r="Y17" s="2"/>
    </row>
    <row r="18" spans="1:25" ht="26.25" customHeight="1" x14ac:dyDescent="0.25">
      <c r="A18" s="8" t="s">
        <v>93</v>
      </c>
      <c r="B18" s="12" t="s">
        <v>109</v>
      </c>
      <c r="C18" s="19" t="s">
        <v>159</v>
      </c>
      <c r="D18" s="19">
        <v>1</v>
      </c>
      <c r="E18" s="20" t="s">
        <v>137</v>
      </c>
      <c r="F18" s="16">
        <v>45923</v>
      </c>
      <c r="G18" s="20" t="s">
        <v>160</v>
      </c>
      <c r="H18" s="20" t="s">
        <v>63</v>
      </c>
      <c r="I18" s="20" t="s">
        <v>161</v>
      </c>
      <c r="J18" s="20" t="s">
        <v>162</v>
      </c>
      <c r="K18" s="20" t="s">
        <v>163</v>
      </c>
      <c r="L18" s="20" t="s">
        <v>164</v>
      </c>
      <c r="M18" s="20" t="s">
        <v>165</v>
      </c>
      <c r="N18" s="20" t="s">
        <v>144</v>
      </c>
      <c r="O18" s="20" t="s">
        <v>47</v>
      </c>
      <c r="P18" s="2"/>
      <c r="Q18" s="2"/>
      <c r="R18" s="2"/>
      <c r="S18" s="2"/>
      <c r="T18" s="2"/>
      <c r="U18" s="2"/>
      <c r="V18" s="2"/>
      <c r="W18" s="2"/>
      <c r="X18" s="2"/>
      <c r="Y18" s="2"/>
    </row>
    <row r="19" spans="1:25" ht="21" customHeight="1" x14ac:dyDescent="0.25">
      <c r="A19" s="11" t="s">
        <v>94</v>
      </c>
      <c r="B19" s="17" t="s">
        <v>110</v>
      </c>
      <c r="C19" s="19" t="s">
        <v>166</v>
      </c>
      <c r="D19" s="19">
        <v>1</v>
      </c>
      <c r="E19" s="20" t="s">
        <v>137</v>
      </c>
      <c r="F19" s="16">
        <v>45923</v>
      </c>
      <c r="G19" s="20" t="s">
        <v>167</v>
      </c>
      <c r="H19" s="20" t="s">
        <v>40</v>
      </c>
      <c r="I19" s="20" t="s">
        <v>168</v>
      </c>
      <c r="J19" s="20" t="s">
        <v>169</v>
      </c>
      <c r="K19" s="20" t="s">
        <v>170</v>
      </c>
      <c r="L19" s="20" t="s">
        <v>171</v>
      </c>
      <c r="M19" s="20" t="s">
        <v>172</v>
      </c>
      <c r="N19" s="20" t="s">
        <v>69</v>
      </c>
      <c r="O19" s="20" t="s">
        <v>47</v>
      </c>
      <c r="P19" s="2"/>
      <c r="Q19" s="2"/>
      <c r="R19" s="2"/>
      <c r="S19" s="2"/>
      <c r="T19" s="2"/>
      <c r="U19" s="2"/>
      <c r="V19" s="2"/>
      <c r="W19" s="2"/>
      <c r="X19" s="2"/>
      <c r="Y19" s="2"/>
    </row>
    <row r="20" spans="1:25" ht="30" x14ac:dyDescent="0.25">
      <c r="A20" s="11" t="s">
        <v>96</v>
      </c>
      <c r="B20" s="17" t="s">
        <v>106</v>
      </c>
      <c r="C20" s="19" t="s">
        <v>173</v>
      </c>
      <c r="D20" s="19">
        <v>1</v>
      </c>
      <c r="E20" s="20" t="s">
        <v>175</v>
      </c>
      <c r="F20" s="16">
        <v>45923</v>
      </c>
      <c r="G20" s="19" t="s">
        <v>176</v>
      </c>
      <c r="H20" s="20" t="s">
        <v>47</v>
      </c>
      <c r="I20" s="20" t="s">
        <v>178</v>
      </c>
      <c r="J20" s="20" t="s">
        <v>180</v>
      </c>
      <c r="K20" s="20" t="s">
        <v>182</v>
      </c>
      <c r="L20" s="20" t="s">
        <v>184</v>
      </c>
      <c r="M20" s="20" t="s">
        <v>186</v>
      </c>
      <c r="N20" s="20" t="s">
        <v>69</v>
      </c>
      <c r="O20" s="20" t="s">
        <v>47</v>
      </c>
      <c r="P20" s="2"/>
      <c r="Q20" s="2"/>
      <c r="R20" s="2"/>
      <c r="S20" s="2"/>
      <c r="T20" s="2"/>
      <c r="U20" s="2"/>
      <c r="V20" s="2"/>
      <c r="W20" s="2"/>
      <c r="X20" s="2"/>
      <c r="Y20" s="2"/>
    </row>
    <row r="21" spans="1:25" ht="19.5" customHeight="1" x14ac:dyDescent="0.25">
      <c r="A21" s="11" t="s">
        <v>97</v>
      </c>
      <c r="B21" s="17" t="s">
        <v>107</v>
      </c>
      <c r="C21" s="19" t="s">
        <v>174</v>
      </c>
      <c r="D21" s="19">
        <v>1</v>
      </c>
      <c r="E21" s="20" t="s">
        <v>137</v>
      </c>
      <c r="F21" s="16">
        <v>45923</v>
      </c>
      <c r="G21" s="20" t="s">
        <v>177</v>
      </c>
      <c r="H21" s="20" t="s">
        <v>63</v>
      </c>
      <c r="I21" s="20" t="s">
        <v>179</v>
      </c>
      <c r="J21" s="20" t="s">
        <v>181</v>
      </c>
      <c r="K21" s="20" t="s">
        <v>183</v>
      </c>
      <c r="L21" s="20" t="s">
        <v>185</v>
      </c>
      <c r="M21" s="20" t="s">
        <v>187</v>
      </c>
      <c r="N21" s="20" t="s">
        <v>69</v>
      </c>
      <c r="O21" s="20" t="s">
        <v>47</v>
      </c>
      <c r="P21" s="2"/>
      <c r="Q21" s="2"/>
      <c r="R21" s="2"/>
      <c r="S21" s="2"/>
      <c r="T21" s="2"/>
      <c r="U21" s="2"/>
      <c r="V21" s="2"/>
      <c r="W21" s="2"/>
      <c r="X21" s="2"/>
      <c r="Y21" s="2"/>
    </row>
    <row r="22" spans="1:25" ht="21.75" customHeight="1" x14ac:dyDescent="0.25">
      <c r="A22" s="11" t="s">
        <v>98</v>
      </c>
      <c r="B22" s="10"/>
      <c r="C22" s="10"/>
      <c r="D22" s="10"/>
      <c r="E22" s="10"/>
      <c r="F22" s="10"/>
      <c r="G22" s="10"/>
      <c r="H22" s="10"/>
      <c r="I22" s="10"/>
      <c r="J22" s="10"/>
      <c r="K22" s="10"/>
      <c r="L22" s="10"/>
      <c r="M22" s="10"/>
      <c r="N22" s="10"/>
      <c r="O22" s="10"/>
      <c r="P22" s="2"/>
      <c r="Q22" s="2"/>
      <c r="R22" s="2"/>
      <c r="S22" s="2"/>
      <c r="T22" s="2"/>
      <c r="U22" s="2"/>
      <c r="V22" s="2"/>
      <c r="W22" s="2"/>
      <c r="X22" s="2"/>
      <c r="Y22" s="2"/>
    </row>
    <row r="23" spans="1:25" ht="15.75" customHeight="1" x14ac:dyDescent="0.25">
      <c r="A23" s="11" t="s">
        <v>99</v>
      </c>
      <c r="B23" s="10"/>
      <c r="C23" s="10"/>
      <c r="D23" s="10"/>
      <c r="E23" s="10"/>
      <c r="F23" s="10"/>
      <c r="G23" s="10"/>
      <c r="H23" s="10"/>
      <c r="I23" s="10"/>
      <c r="J23" s="10"/>
      <c r="K23" s="10"/>
      <c r="L23" s="10"/>
      <c r="M23" s="10"/>
      <c r="N23" s="10"/>
      <c r="O23" s="10"/>
      <c r="P23" s="2"/>
      <c r="Q23" s="2"/>
      <c r="R23" s="2"/>
      <c r="S23" s="2"/>
      <c r="T23" s="2"/>
      <c r="U23" s="2"/>
      <c r="V23" s="2"/>
      <c r="W23" s="2"/>
      <c r="X23" s="2"/>
      <c r="Y23" s="2"/>
    </row>
    <row r="24" spans="1:25" ht="15.75" customHeight="1" x14ac:dyDescent="0.25">
      <c r="A24" s="11" t="s">
        <v>100</v>
      </c>
      <c r="B24" s="10"/>
      <c r="C24" s="10"/>
      <c r="D24" s="10"/>
      <c r="E24" s="10"/>
      <c r="F24" s="10"/>
      <c r="G24" s="10"/>
      <c r="H24" s="10"/>
      <c r="I24" s="10"/>
      <c r="J24" s="10"/>
      <c r="K24" s="10"/>
      <c r="L24" s="10"/>
      <c r="M24" s="10"/>
      <c r="N24" s="10"/>
      <c r="O24" s="10"/>
      <c r="P24" s="2"/>
      <c r="Q24" s="2"/>
      <c r="R24" s="2"/>
      <c r="S24" s="2"/>
      <c r="T24" s="2"/>
      <c r="U24" s="2"/>
      <c r="V24" s="2"/>
      <c r="W24" s="2"/>
      <c r="X24" s="2"/>
      <c r="Y24" s="2"/>
    </row>
    <row r="25" spans="1:25" ht="15.75" customHeight="1" x14ac:dyDescent="0.25">
      <c r="A25" s="11" t="s">
        <v>101</v>
      </c>
      <c r="B25" s="10"/>
      <c r="C25" s="10"/>
      <c r="D25" s="10"/>
      <c r="E25" s="10"/>
      <c r="F25" s="10"/>
      <c r="G25" s="10"/>
      <c r="H25" s="10"/>
      <c r="I25" s="10"/>
      <c r="J25" s="10"/>
      <c r="K25" s="10"/>
      <c r="L25" s="10"/>
      <c r="M25" s="10"/>
      <c r="N25" s="10"/>
      <c r="O25" s="10"/>
      <c r="P25" s="2"/>
      <c r="Q25" s="2"/>
      <c r="R25" s="2"/>
      <c r="S25" s="2"/>
      <c r="T25" s="2"/>
      <c r="U25" s="2"/>
      <c r="V25" s="2"/>
      <c r="W25" s="2"/>
      <c r="X25" s="2"/>
      <c r="Y25" s="2"/>
    </row>
    <row r="26" spans="1:25" ht="15.75" customHeight="1" x14ac:dyDescent="0.25">
      <c r="A26" s="11" t="s">
        <v>102</v>
      </c>
      <c r="B26" s="10"/>
      <c r="C26" s="10"/>
      <c r="D26" s="10"/>
      <c r="E26" s="10"/>
      <c r="F26" s="10"/>
      <c r="G26" s="10"/>
      <c r="H26" s="10"/>
      <c r="I26" s="10"/>
      <c r="J26" s="10"/>
      <c r="K26" s="10"/>
      <c r="L26" s="10"/>
      <c r="M26" s="10"/>
      <c r="N26" s="10"/>
      <c r="O26" s="10"/>
      <c r="P26" s="2"/>
      <c r="Q26" s="2"/>
      <c r="R26" s="2"/>
      <c r="S26" s="2"/>
      <c r="T26" s="2"/>
      <c r="U26" s="2"/>
      <c r="V26" s="2"/>
      <c r="W26" s="2"/>
      <c r="X26" s="2"/>
      <c r="Y26" s="2"/>
    </row>
    <row r="27" spans="1:25" ht="15.75" customHeight="1" x14ac:dyDescent="0.25">
      <c r="A27" s="11" t="s">
        <v>103</v>
      </c>
      <c r="B27" s="10"/>
      <c r="C27" s="10"/>
      <c r="D27" s="10"/>
      <c r="E27" s="10"/>
      <c r="F27" s="10"/>
      <c r="G27" s="10"/>
      <c r="H27" s="10"/>
      <c r="I27" s="10"/>
      <c r="J27" s="10"/>
      <c r="K27" s="10"/>
      <c r="L27" s="10"/>
      <c r="M27" s="10"/>
      <c r="N27" s="10"/>
      <c r="O27" s="10"/>
      <c r="P27" s="2"/>
      <c r="Q27" s="2"/>
      <c r="R27" s="2"/>
      <c r="S27" s="2"/>
      <c r="T27" s="2"/>
      <c r="U27" s="2"/>
      <c r="V27" s="2"/>
      <c r="W27" s="2"/>
      <c r="X27" s="2"/>
      <c r="Y27" s="2"/>
    </row>
    <row r="28" spans="1:25" ht="15.75" customHeight="1" x14ac:dyDescent="0.25">
      <c r="A28" s="11" t="s">
        <v>104</v>
      </c>
      <c r="B28" s="10"/>
      <c r="C28" s="10"/>
      <c r="D28" s="10"/>
      <c r="E28" s="10"/>
      <c r="F28" s="10"/>
      <c r="G28" s="10"/>
      <c r="H28" s="10"/>
      <c r="I28" s="10"/>
      <c r="J28" s="10"/>
      <c r="K28" s="10"/>
      <c r="L28" s="10"/>
      <c r="M28" s="10"/>
      <c r="N28" s="10"/>
      <c r="O28" s="10"/>
      <c r="P28" s="2"/>
      <c r="Q28" s="2"/>
      <c r="R28" s="2"/>
      <c r="S28" s="2"/>
      <c r="T28" s="2"/>
      <c r="U28" s="2"/>
      <c r="V28" s="2"/>
      <c r="W28" s="2"/>
      <c r="X28" s="2"/>
      <c r="Y28" s="2"/>
    </row>
    <row r="29" spans="1:25"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honeticPr fontId="10"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A2" sqref="A2"/>
    </sheetView>
  </sheetViews>
  <sheetFormatPr baseColWidth="10" defaultColWidth="14.42578125" defaultRowHeight="15" customHeight="1" x14ac:dyDescent="0.25"/>
  <cols>
    <col min="1" max="1" width="39.140625" customWidth="1"/>
    <col min="2" max="2" width="95" customWidth="1"/>
    <col min="3" max="3" width="4.42578125" customWidth="1"/>
    <col min="4" max="6" width="11.42578125" customWidth="1"/>
    <col min="7" max="26" width="10" customWidth="1"/>
  </cols>
  <sheetData>
    <row r="1" spans="1:26" ht="23.25" customHeight="1" x14ac:dyDescent="0.35">
      <c r="A1" s="1" t="str">
        <f>'Plantilla de matriz requisitos'!A1</f>
        <v>Plantilla de matriz de trazabilidad de requisitos</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35">
      <c r="A2" s="3" t="s">
        <v>1</v>
      </c>
      <c r="B2" s="2"/>
      <c r="C2" s="2"/>
      <c r="D2" s="2"/>
      <c r="E2" s="2"/>
      <c r="F2" s="2"/>
      <c r="G2" s="2"/>
      <c r="H2" s="2"/>
      <c r="I2" s="2"/>
      <c r="J2" s="2"/>
      <c r="K2" s="2"/>
      <c r="L2" s="2"/>
      <c r="M2" s="2"/>
      <c r="N2" s="2"/>
      <c r="O2" s="2"/>
      <c r="P2" s="2"/>
      <c r="Q2" s="2"/>
      <c r="R2" s="2"/>
      <c r="S2" s="2"/>
      <c r="T2" s="2"/>
      <c r="U2" s="2"/>
      <c r="V2" s="2"/>
      <c r="W2" s="2"/>
      <c r="X2" s="2"/>
      <c r="Y2" s="2"/>
      <c r="Z2" s="2"/>
    </row>
    <row r="3" spans="1:26" x14ac:dyDescent="0.25">
      <c r="A3" s="2"/>
      <c r="B3" s="2"/>
      <c r="C3" s="2"/>
      <c r="D3" s="2"/>
      <c r="E3" s="2"/>
      <c r="F3" s="2"/>
      <c r="G3" s="2"/>
      <c r="H3" s="2"/>
      <c r="I3" s="2"/>
      <c r="J3" s="2"/>
      <c r="K3" s="2"/>
      <c r="L3" s="2"/>
      <c r="M3" s="2"/>
      <c r="N3" s="2"/>
      <c r="O3" s="2"/>
      <c r="P3" s="2"/>
      <c r="Q3" s="2"/>
      <c r="R3" s="2"/>
      <c r="S3" s="2"/>
      <c r="T3" s="2"/>
      <c r="U3" s="2"/>
      <c r="V3" s="2"/>
      <c r="W3" s="2"/>
      <c r="X3" s="2"/>
      <c r="Y3" s="2"/>
      <c r="Z3" s="2"/>
    </row>
    <row r="4" spans="1:26" x14ac:dyDescent="0.25">
      <c r="A4" s="4" t="s">
        <v>17</v>
      </c>
      <c r="B4" s="2"/>
      <c r="C4" s="2"/>
      <c r="D4" s="2"/>
      <c r="E4" s="2"/>
      <c r="F4" s="2"/>
      <c r="G4" s="2"/>
      <c r="H4" s="2"/>
      <c r="I4" s="2"/>
      <c r="J4" s="2"/>
      <c r="K4" s="2"/>
      <c r="L4" s="2"/>
      <c r="M4" s="2"/>
      <c r="N4" s="2"/>
      <c r="O4" s="2"/>
      <c r="P4" s="2"/>
      <c r="Q4" s="2"/>
      <c r="R4" s="2"/>
      <c r="S4" s="2"/>
      <c r="T4" s="2"/>
      <c r="U4" s="2"/>
      <c r="V4" s="2"/>
      <c r="W4" s="2"/>
      <c r="X4" s="2"/>
      <c r="Y4" s="2"/>
      <c r="Z4" s="2"/>
    </row>
    <row r="5" spans="1:26" x14ac:dyDescent="0.25">
      <c r="A5" s="5" t="s">
        <v>18</v>
      </c>
      <c r="B5" s="5" t="s">
        <v>19</v>
      </c>
      <c r="C5" s="2"/>
      <c r="D5" s="2"/>
      <c r="E5" s="2"/>
      <c r="F5" s="2"/>
      <c r="G5" s="2"/>
      <c r="H5" s="2"/>
      <c r="I5" s="2"/>
      <c r="J5" s="2"/>
      <c r="K5" s="2"/>
      <c r="L5" s="2"/>
      <c r="M5" s="2"/>
      <c r="N5" s="2"/>
      <c r="O5" s="2"/>
      <c r="P5" s="2"/>
      <c r="Q5" s="2"/>
      <c r="R5" s="2"/>
      <c r="S5" s="2"/>
      <c r="T5" s="2"/>
      <c r="U5" s="2"/>
      <c r="V5" s="2"/>
      <c r="W5" s="2"/>
      <c r="X5" s="2"/>
      <c r="Y5" s="2"/>
      <c r="Z5" s="2"/>
    </row>
    <row r="6" spans="1:26" ht="30" customHeight="1" x14ac:dyDescent="0.25">
      <c r="A6" s="6" t="str">
        <f>'Plantilla de matriz requisitos'!A6</f>
        <v>Identificación</v>
      </c>
      <c r="B6" s="6" t="s">
        <v>20</v>
      </c>
      <c r="C6" s="2"/>
      <c r="D6" s="2"/>
      <c r="E6" s="2"/>
      <c r="F6" s="2"/>
      <c r="G6" s="2"/>
      <c r="H6" s="2"/>
      <c r="I6" s="2"/>
      <c r="J6" s="2"/>
      <c r="K6" s="2"/>
      <c r="L6" s="2"/>
      <c r="M6" s="2"/>
      <c r="N6" s="2"/>
      <c r="O6" s="2"/>
      <c r="P6" s="2"/>
      <c r="Q6" s="2"/>
      <c r="R6" s="2"/>
      <c r="S6" s="2"/>
      <c r="T6" s="2"/>
      <c r="U6" s="2"/>
      <c r="V6" s="2"/>
      <c r="W6" s="2"/>
      <c r="X6" s="2"/>
      <c r="Y6" s="2"/>
      <c r="Z6" s="2"/>
    </row>
    <row r="7" spans="1:26" ht="105" customHeight="1" x14ac:dyDescent="0.25">
      <c r="A7" s="6" t="str">
        <f>'Plantilla de matriz requisitos'!B6</f>
        <v>Sub identificación</v>
      </c>
      <c r="B7" s="6" t="s">
        <v>21</v>
      </c>
      <c r="C7" s="2"/>
      <c r="D7" s="2"/>
      <c r="E7" s="2"/>
      <c r="F7" s="2"/>
      <c r="G7" s="2"/>
      <c r="H7" s="2"/>
      <c r="I7" s="2"/>
      <c r="J7" s="2"/>
      <c r="K7" s="2"/>
      <c r="L7" s="2"/>
      <c r="M7" s="2"/>
      <c r="N7" s="2"/>
      <c r="O7" s="2"/>
      <c r="P7" s="2"/>
      <c r="Q7" s="2"/>
      <c r="R7" s="2"/>
      <c r="S7" s="2"/>
      <c r="T7" s="2"/>
      <c r="U7" s="2"/>
      <c r="V7" s="2"/>
      <c r="W7" s="2"/>
      <c r="X7" s="2"/>
      <c r="Y7" s="2"/>
      <c r="Z7" s="2"/>
    </row>
    <row r="8" spans="1:26" ht="60" customHeight="1" x14ac:dyDescent="0.25">
      <c r="A8" s="6" t="str">
        <f>'Plantilla de matriz requisitos'!C6</f>
        <v>Descripción del requisito</v>
      </c>
      <c r="B8" s="6" t="s">
        <v>22</v>
      </c>
      <c r="C8" s="2"/>
      <c r="D8" s="2"/>
      <c r="E8" s="2"/>
      <c r="F8" s="2"/>
      <c r="G8" s="2"/>
      <c r="H8" s="2"/>
      <c r="I8" s="2"/>
      <c r="J8" s="2"/>
      <c r="K8" s="2"/>
      <c r="L8" s="2"/>
      <c r="M8" s="2"/>
      <c r="N8" s="2"/>
      <c r="O8" s="2"/>
      <c r="P8" s="2"/>
      <c r="Q8" s="2"/>
      <c r="R8" s="2"/>
      <c r="S8" s="2"/>
      <c r="T8" s="2"/>
      <c r="U8" s="2"/>
      <c r="V8" s="2"/>
      <c r="W8" s="2"/>
      <c r="X8" s="2"/>
      <c r="Y8" s="2"/>
      <c r="Z8" s="2"/>
    </row>
    <row r="9" spans="1:26" ht="30" customHeight="1" x14ac:dyDescent="0.25">
      <c r="A9" s="6" t="str">
        <f>'Plantilla de matriz requisitos'!D6</f>
        <v>Versión</v>
      </c>
      <c r="B9" s="6" t="s">
        <v>23</v>
      </c>
      <c r="C9" s="2"/>
      <c r="D9" s="2"/>
      <c r="E9" s="2"/>
      <c r="F9" s="2"/>
      <c r="G9" s="2"/>
      <c r="H9" s="2"/>
      <c r="I9" s="2"/>
      <c r="J9" s="2"/>
      <c r="K9" s="2"/>
      <c r="L9" s="2"/>
      <c r="M9" s="2"/>
      <c r="N9" s="2"/>
      <c r="O9" s="2"/>
      <c r="P9" s="2"/>
      <c r="Q9" s="2"/>
      <c r="R9" s="2"/>
      <c r="S9" s="2"/>
      <c r="T9" s="2"/>
      <c r="U9" s="2"/>
      <c r="V9" s="2"/>
      <c r="W9" s="2"/>
      <c r="X9" s="2"/>
      <c r="Y9" s="2"/>
      <c r="Z9" s="2"/>
    </row>
    <row r="10" spans="1:26" x14ac:dyDescent="0.25">
      <c r="A10" s="6" t="str">
        <f>'Plantilla de matriz requisitos'!E6</f>
        <v>Estado actual</v>
      </c>
      <c r="B10" s="6" t="s">
        <v>24</v>
      </c>
      <c r="C10" s="2"/>
      <c r="D10" s="2"/>
      <c r="E10" s="2"/>
      <c r="F10" s="2"/>
      <c r="G10" s="2"/>
      <c r="H10" s="2"/>
      <c r="I10" s="2"/>
      <c r="J10" s="2"/>
      <c r="K10" s="2"/>
      <c r="L10" s="2"/>
      <c r="M10" s="2"/>
      <c r="N10" s="2"/>
      <c r="O10" s="2"/>
      <c r="P10" s="2"/>
      <c r="Q10" s="2"/>
      <c r="R10" s="2"/>
      <c r="S10" s="2"/>
      <c r="T10" s="2"/>
      <c r="U10" s="2"/>
      <c r="V10" s="2"/>
      <c r="W10" s="2"/>
      <c r="X10" s="2"/>
      <c r="Y10" s="2"/>
      <c r="Z10" s="2"/>
    </row>
    <row r="11" spans="1:26" x14ac:dyDescent="0.25">
      <c r="A11" s="6" t="str">
        <f>'Plantilla de matriz requisitos'!F6</f>
        <v>Última fecha estado registrado</v>
      </c>
      <c r="B11" s="6" t="s">
        <v>25</v>
      </c>
      <c r="C11" s="2"/>
      <c r="D11" s="2"/>
      <c r="E11" s="2"/>
      <c r="F11" s="2"/>
      <c r="G11" s="2"/>
      <c r="H11" s="2"/>
      <c r="I11" s="2"/>
      <c r="J11" s="2"/>
      <c r="K11" s="2"/>
      <c r="L11" s="2"/>
      <c r="M11" s="2"/>
      <c r="N11" s="2"/>
      <c r="O11" s="2"/>
      <c r="P11" s="2"/>
      <c r="Q11" s="2"/>
      <c r="R11" s="2"/>
      <c r="S11" s="2"/>
      <c r="T11" s="2"/>
      <c r="U11" s="2"/>
      <c r="V11" s="2"/>
      <c r="W11" s="2"/>
      <c r="X11" s="2"/>
      <c r="Y11" s="2"/>
      <c r="Z11" s="2"/>
    </row>
    <row r="12" spans="1:26" ht="30" customHeight="1" x14ac:dyDescent="0.25">
      <c r="A12" s="6" t="str">
        <f>'Plantilla de matriz requisitos'!G6</f>
        <v>Criterios de aceptación</v>
      </c>
      <c r="B12" s="6" t="s">
        <v>26</v>
      </c>
      <c r="C12" s="2"/>
      <c r="D12" s="2"/>
      <c r="E12" s="2"/>
      <c r="F12" s="2"/>
      <c r="G12" s="2"/>
      <c r="H12" s="2"/>
      <c r="I12" s="2"/>
      <c r="J12" s="2"/>
      <c r="K12" s="2"/>
      <c r="L12" s="2"/>
      <c r="M12" s="2"/>
      <c r="N12" s="2"/>
      <c r="O12" s="2"/>
      <c r="P12" s="2"/>
      <c r="Q12" s="2"/>
      <c r="R12" s="2"/>
      <c r="S12" s="2"/>
      <c r="T12" s="2"/>
      <c r="U12" s="2"/>
      <c r="V12" s="2"/>
      <c r="W12" s="2"/>
      <c r="X12" s="2"/>
      <c r="Y12" s="2"/>
      <c r="Z12" s="2"/>
    </row>
    <row r="13" spans="1:26" ht="30" customHeight="1" x14ac:dyDescent="0.25">
      <c r="A13" s="6" t="str">
        <f>'Plantilla de matriz requisitos'!H6</f>
        <v>Nivel de complejidad</v>
      </c>
      <c r="B13" s="6" t="s">
        <v>27</v>
      </c>
      <c r="C13" s="2"/>
      <c r="D13" s="2"/>
      <c r="E13" s="2"/>
      <c r="F13" s="2"/>
      <c r="G13" s="2"/>
      <c r="H13" s="2"/>
      <c r="I13" s="2"/>
      <c r="J13" s="2"/>
      <c r="K13" s="2"/>
      <c r="L13" s="2"/>
      <c r="M13" s="2"/>
      <c r="N13" s="2"/>
      <c r="O13" s="2"/>
      <c r="P13" s="2"/>
      <c r="Q13" s="2"/>
      <c r="R13" s="2"/>
      <c r="S13" s="2"/>
      <c r="T13" s="2"/>
      <c r="U13" s="2"/>
      <c r="V13" s="2"/>
      <c r="W13" s="2"/>
      <c r="X13" s="2"/>
      <c r="Y13" s="2"/>
      <c r="Z13" s="2"/>
    </row>
    <row r="14" spans="1:26" ht="45" customHeight="1" x14ac:dyDescent="0.25">
      <c r="A14" s="6" t="str">
        <f>'Plantilla de matriz requisitos'!I6</f>
        <v>Necesidad, oportunidades u objetivos de negocio</v>
      </c>
      <c r="B14" s="6" t="s">
        <v>28</v>
      </c>
      <c r="C14" s="2"/>
      <c r="D14" s="2"/>
      <c r="E14" s="2"/>
      <c r="F14" s="2"/>
      <c r="G14" s="2"/>
      <c r="H14" s="2"/>
      <c r="I14" s="2"/>
      <c r="J14" s="2"/>
      <c r="K14" s="2"/>
      <c r="L14" s="2"/>
      <c r="M14" s="2"/>
      <c r="N14" s="2"/>
      <c r="O14" s="2"/>
      <c r="P14" s="2"/>
      <c r="Q14" s="2"/>
      <c r="R14" s="2"/>
      <c r="S14" s="2"/>
      <c r="T14" s="2"/>
      <c r="U14" s="2"/>
      <c r="V14" s="2"/>
      <c r="W14" s="2"/>
      <c r="X14" s="2"/>
      <c r="Y14" s="2"/>
      <c r="Z14" s="2"/>
    </row>
    <row r="15" spans="1:26" ht="30" customHeight="1" x14ac:dyDescent="0.25">
      <c r="A15" s="6" t="e">
        <f>'Plantilla de matriz requisitos'!#REF!</f>
        <v>#REF!</v>
      </c>
      <c r="B15" s="6" t="s">
        <v>29</v>
      </c>
      <c r="C15" s="2"/>
      <c r="D15" s="2"/>
      <c r="E15" s="2"/>
      <c r="F15" s="2"/>
      <c r="G15" s="2"/>
      <c r="H15" s="2"/>
      <c r="I15" s="2"/>
      <c r="J15" s="2"/>
      <c r="K15" s="2"/>
      <c r="L15" s="2"/>
      <c r="M15" s="2"/>
      <c r="N15" s="2"/>
      <c r="O15" s="2"/>
      <c r="P15" s="2"/>
      <c r="Q15" s="2"/>
      <c r="R15" s="2"/>
      <c r="S15" s="2"/>
      <c r="T15" s="2"/>
      <c r="U15" s="2"/>
      <c r="V15" s="2"/>
      <c r="W15" s="2"/>
      <c r="X15" s="2"/>
      <c r="Y15" s="2"/>
      <c r="Z15" s="2"/>
    </row>
    <row r="16" spans="1:26" ht="30" customHeight="1" x14ac:dyDescent="0.25">
      <c r="A16" s="6" t="str">
        <f>'Plantilla de matriz requisitos'!J6</f>
        <v>Entregables (EDT)</v>
      </c>
      <c r="B16" s="6" t="s">
        <v>30</v>
      </c>
      <c r="C16" s="2"/>
      <c r="D16" s="2"/>
      <c r="E16" s="2"/>
      <c r="F16" s="2"/>
      <c r="G16" s="2"/>
      <c r="H16" s="2"/>
      <c r="I16" s="2"/>
      <c r="J16" s="2"/>
      <c r="K16" s="2"/>
      <c r="L16" s="2"/>
      <c r="M16" s="2"/>
      <c r="N16" s="2"/>
      <c r="O16" s="2"/>
      <c r="P16" s="2"/>
      <c r="Q16" s="2"/>
      <c r="R16" s="2"/>
      <c r="S16" s="2"/>
      <c r="T16" s="2"/>
      <c r="U16" s="2"/>
      <c r="V16" s="2"/>
      <c r="W16" s="2"/>
      <c r="X16" s="2"/>
      <c r="Y16" s="2"/>
      <c r="Z16" s="2"/>
    </row>
    <row r="17" spans="1:26" ht="45" customHeight="1" x14ac:dyDescent="0.25">
      <c r="A17" s="6" t="str">
        <f>'Plantilla de matriz requisitos'!K6</f>
        <v>Diseño del producto</v>
      </c>
      <c r="B17" s="6" t="s">
        <v>31</v>
      </c>
      <c r="C17" s="2"/>
      <c r="D17" s="2"/>
      <c r="E17" s="2"/>
      <c r="F17" s="2"/>
      <c r="G17" s="2"/>
      <c r="H17" s="2"/>
      <c r="I17" s="2"/>
      <c r="J17" s="2"/>
      <c r="K17" s="2"/>
      <c r="L17" s="2"/>
      <c r="M17" s="2"/>
      <c r="N17" s="2"/>
      <c r="O17" s="2"/>
      <c r="P17" s="2"/>
      <c r="Q17" s="2"/>
      <c r="R17" s="2"/>
      <c r="S17" s="2"/>
      <c r="T17" s="2"/>
      <c r="U17" s="2"/>
      <c r="V17" s="2"/>
      <c r="W17" s="2"/>
      <c r="X17" s="2"/>
      <c r="Y17" s="2"/>
      <c r="Z17" s="2"/>
    </row>
    <row r="18" spans="1:26" ht="45" customHeight="1" x14ac:dyDescent="0.25">
      <c r="A18" s="6" t="str">
        <f>'Plantilla de matriz requisitos'!L6</f>
        <v>Desarrollo del producto</v>
      </c>
      <c r="B18" s="6" t="s">
        <v>32</v>
      </c>
      <c r="C18" s="2"/>
      <c r="D18" s="2"/>
      <c r="E18" s="2"/>
      <c r="F18" s="2"/>
      <c r="G18" s="2"/>
      <c r="H18" s="2"/>
      <c r="I18" s="2"/>
      <c r="J18" s="2"/>
      <c r="K18" s="2"/>
      <c r="L18" s="2"/>
      <c r="M18" s="2"/>
      <c r="N18" s="2"/>
      <c r="O18" s="2"/>
      <c r="P18" s="2"/>
      <c r="Q18" s="2"/>
      <c r="R18" s="2"/>
      <c r="S18" s="2"/>
      <c r="T18" s="2"/>
      <c r="U18" s="2"/>
      <c r="V18" s="2"/>
      <c r="W18" s="2"/>
      <c r="X18" s="2"/>
      <c r="Y18" s="2"/>
      <c r="Z18" s="2"/>
    </row>
    <row r="19" spans="1:26" ht="30" customHeight="1" x14ac:dyDescent="0.25">
      <c r="A19" s="6" t="str">
        <f>'Plantilla de matriz requisitos'!M6</f>
        <v>Estrategia y escenarios de pruebas</v>
      </c>
      <c r="B19" s="6" t="s">
        <v>33</v>
      </c>
      <c r="C19" s="2"/>
      <c r="D19" s="2"/>
      <c r="E19" s="2"/>
      <c r="F19" s="2"/>
      <c r="G19" s="2"/>
      <c r="H19" s="2"/>
      <c r="I19" s="2"/>
      <c r="J19" s="2"/>
      <c r="K19" s="2"/>
      <c r="L19" s="2"/>
      <c r="M19" s="2"/>
      <c r="N19" s="2"/>
      <c r="O19" s="2"/>
      <c r="P19" s="2"/>
      <c r="Q19" s="2"/>
      <c r="R19" s="2"/>
      <c r="S19" s="2"/>
      <c r="T19" s="2"/>
      <c r="U19" s="2"/>
      <c r="V19" s="2"/>
      <c r="W19" s="2"/>
      <c r="X19" s="2"/>
      <c r="Y19" s="2"/>
      <c r="Z19" s="2"/>
    </row>
    <row r="20" spans="1:26" ht="30" customHeight="1" x14ac:dyDescent="0.25">
      <c r="A20" s="6" t="str">
        <f>'Plantilla de matriz requisitos'!N6</f>
        <v>Interesado (Stakeholder) dueño del requisito</v>
      </c>
      <c r="B20" s="6" t="s">
        <v>34</v>
      </c>
      <c r="C20" s="2"/>
      <c r="D20" s="2"/>
      <c r="E20" s="2"/>
      <c r="F20" s="2"/>
      <c r="G20" s="2"/>
      <c r="H20" s="2"/>
      <c r="I20" s="2"/>
      <c r="J20" s="2"/>
      <c r="K20" s="2"/>
      <c r="L20" s="2"/>
      <c r="M20" s="2"/>
      <c r="N20" s="2"/>
      <c r="O20" s="2"/>
      <c r="P20" s="2"/>
      <c r="Q20" s="2"/>
      <c r="R20" s="2"/>
      <c r="S20" s="2"/>
      <c r="T20" s="2"/>
      <c r="U20" s="2"/>
      <c r="V20" s="2"/>
      <c r="W20" s="2"/>
      <c r="X20" s="2"/>
      <c r="Y20" s="2"/>
      <c r="Z20" s="2"/>
    </row>
    <row r="21" spans="1:26" ht="45" customHeight="1" x14ac:dyDescent="0.25">
      <c r="A21" s="6" t="str">
        <f>'Plantilla de matriz requisitos'!O6</f>
        <v>Nivel de prioridad</v>
      </c>
      <c r="B21" s="6" t="s">
        <v>35</v>
      </c>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2622ba91-40fd-4640-b50c-92dc66e1fc4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46C637EA589F24D935192A732302EFF" ma:contentTypeVersion="18" ma:contentTypeDescription="Create a new document." ma:contentTypeScope="" ma:versionID="560acd60a9f30dcb8b9a449622952382">
  <xsd:schema xmlns:xsd="http://www.w3.org/2001/XMLSchema" xmlns:xs="http://www.w3.org/2001/XMLSchema" xmlns:p="http://schemas.microsoft.com/office/2006/metadata/properties" xmlns:ns3="2622ba91-40fd-4640-b50c-92dc66e1fc44" xmlns:ns4="749d5ae2-5db7-4e69-a7a3-6fccc2fcb882" targetNamespace="http://schemas.microsoft.com/office/2006/metadata/properties" ma:root="true" ma:fieldsID="f85bb7fe8d607d42cda762f3ed6b621b" ns3:_="" ns4:_="">
    <xsd:import namespace="2622ba91-40fd-4640-b50c-92dc66e1fc44"/>
    <xsd:import namespace="749d5ae2-5db7-4e69-a7a3-6fccc2fcb882"/>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_activity" minOccurs="0"/>
                <xsd:element ref="ns3:MediaServiceSearchProperties" minOccurs="0"/>
                <xsd:element ref="ns3:MediaServiceObjectDetectorVersions" minOccurs="0"/>
                <xsd:element ref="ns3:MediaServiceLocation"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22ba91-40fd-4640-b50c-92dc66e1fc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_activity" ma:index="21" nillable="true" ma:displayName="_activity" ma:hidden="true" ma:internalName="_activity">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49d5ae2-5db7-4e69-a7a3-6fccc2fcb88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E9CF53-1BFC-4FE7-A5AD-9D88A5E1845A}">
  <ds:schemaRefs>
    <ds:schemaRef ds:uri="http://schemas.microsoft.com/sharepoint/v3/contenttype/forms"/>
  </ds:schemaRefs>
</ds:datastoreItem>
</file>

<file path=customXml/itemProps2.xml><?xml version="1.0" encoding="utf-8"?>
<ds:datastoreItem xmlns:ds="http://schemas.openxmlformats.org/officeDocument/2006/customXml" ds:itemID="{10DE7DF7-AA87-411A-84CD-0445C63CF3A4}">
  <ds:schemaRefs>
    <ds:schemaRef ds:uri="http://schemas.microsoft.com/office/infopath/2007/PartnerControls"/>
    <ds:schemaRef ds:uri="http://purl.org/dc/dcmitype/"/>
    <ds:schemaRef ds:uri="http://www.w3.org/XML/1998/namespace"/>
    <ds:schemaRef ds:uri="http://schemas.microsoft.com/office/2006/metadata/properties"/>
    <ds:schemaRef ds:uri="http://purl.org/dc/elements/1.1/"/>
    <ds:schemaRef ds:uri="2622ba91-40fd-4640-b50c-92dc66e1fc44"/>
    <ds:schemaRef ds:uri="http://schemas.microsoft.com/office/2006/documentManagement/types"/>
    <ds:schemaRef ds:uri="http://schemas.openxmlformats.org/package/2006/metadata/core-properties"/>
    <ds:schemaRef ds:uri="749d5ae2-5db7-4e69-a7a3-6fccc2fcb882"/>
    <ds:schemaRef ds:uri="http://purl.org/dc/terms/"/>
  </ds:schemaRefs>
</ds:datastoreItem>
</file>

<file path=customXml/itemProps3.xml><?xml version="1.0" encoding="utf-8"?>
<ds:datastoreItem xmlns:ds="http://schemas.openxmlformats.org/officeDocument/2006/customXml" ds:itemID="{A5CAC279-9F2C-4AF7-99BD-C25F349C68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22ba91-40fd-4640-b50c-92dc66e1fc44"/>
    <ds:schemaRef ds:uri="749d5ae2-5db7-4e69-a7a3-6fccc2fcb8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Plantilla de matriz requisitos</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ZATDIEL YAEL ROMO RIVERO</cp:lastModifiedBy>
  <dcterms:created xsi:type="dcterms:W3CDTF">2012-09-02T03:53:17Z</dcterms:created>
  <dcterms:modified xsi:type="dcterms:W3CDTF">2025-10-03T03:37:44Z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0x010100346C637EA589F24D935192A732302EFF</vt:lpwstr>
  </property>
</Properties>
</file>